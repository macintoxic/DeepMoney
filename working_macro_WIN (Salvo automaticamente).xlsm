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Projetos\winforms_excel\"/>
    </mc:Choice>
  </mc:AlternateContent>
  <bookViews>
    <workbookView xWindow="0" yWindow="0" windowWidth="25125" windowHeight="14100"/>
  </bookViews>
  <sheets>
    <sheet name="Planilha1" sheetId="1" r:id="rId1"/>
  </sheets>
  <externalReferences>
    <externalReference r:id="rId2"/>
  </externalReferenc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C2" i="1"/>
  <c r="D2" i="1"/>
  <c r="E2" i="1"/>
  <c r="F2" i="1"/>
  <c r="G2" i="1"/>
  <c r="H2" i="1"/>
  <c r="I2" i="1"/>
  <c r="J2" i="1"/>
  <c r="K2" i="1"/>
  <c r="L2" i="1"/>
  <c r="B3" i="1"/>
  <c r="C3" i="1"/>
  <c r="D3" i="1"/>
  <c r="E3" i="1"/>
  <c r="F3" i="1"/>
  <c r="G3" i="1"/>
  <c r="H3" i="1"/>
  <c r="I3" i="1"/>
  <c r="J3" i="1"/>
  <c r="K3" i="1"/>
  <c r="L3" i="1"/>
</calcChain>
</file>

<file path=xl/sharedStrings.xml><?xml version="1.0" encoding="utf-8"?>
<sst xmlns="http://schemas.openxmlformats.org/spreadsheetml/2006/main" count="14" uniqueCount="14">
  <si>
    <t>Asset</t>
  </si>
  <si>
    <t>Data</t>
  </si>
  <si>
    <t>Hora</t>
  </si>
  <si>
    <t>Último</t>
  </si>
  <si>
    <t>Abertura</t>
  </si>
  <si>
    <t>Máximo</t>
  </si>
  <si>
    <t>Mínimo</t>
  </si>
  <si>
    <t>Estado Atual</t>
  </si>
  <si>
    <t>Estocástico Lento</t>
  </si>
  <si>
    <t>MACD Histograma</t>
  </si>
  <si>
    <t>MACD Linha &amp; Histograma</t>
  </si>
  <si>
    <t>Média Móvel</t>
  </si>
  <si>
    <t>WINFUT</t>
  </si>
  <si>
    <t>WDOFUT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</si>
</sst>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43" fontId="0" fillId="0" borderId="0" xfId="1" applyFont="1"/>
    <xf numFmtId="0" fontId="2" fillId="0" borderId="0" xfId="0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profitchart" ddeTopic="cot">
    <ddeItems>
      <ddeItem name="StdDocumentName" ole="1" advise="1"/>
      <ddeItem name="WDOFUT.14" advise="1">
        <values>
          <value t="str">
            <val>75,28</val>
          </value>
        </values>
      </ddeItem>
      <ddeItem name="WDOFUT.3" advise="1">
        <values>
          <value t="str">
            <val>5.249,20</val>
          </value>
        </values>
      </ddeItem>
      <ddeItem name="WDOFUT.6" advise="1">
        <values>
          <value t="str">
            <val>14,70 / 14,70</val>
          </value>
        </values>
      </ddeItem>
      <ddeItem name="WDOFUT.74" advise="1">
        <values>
          <value t="str">
            <val>-54,11 / -54,11</val>
          </value>
        </values>
      </ddeItem>
      <ddeItem name="WDOFUT.ABE" advise="1">
        <values>
          <value>
            <val>5331</val>
          </value>
        </values>
      </ddeItem>
      <ddeItem name="WDOFUT.DAT" advise="1">
        <values>
          <value t="str">
            <val>20/09/2021</val>
          </value>
        </values>
      </ddeItem>
      <ddeItem name="WDOFUT.EST" advise="1">
        <values>
          <value t="str">
            <val>Aberto</val>
          </value>
        </values>
      </ddeItem>
      <ddeItem name="WDOFUT.HOR" advise="1">
        <values>
          <value t="str">
            <val>09:40:29</val>
          </value>
        </values>
      </ddeItem>
      <ddeItem name="WDOFUT.MAX" advise="1">
        <values>
          <value>
            <val>5356.5</val>
          </value>
        </values>
      </ddeItem>
      <ddeItem name="WDOFUT.MIN" advise="1">
        <values>
          <value>
            <val>5330.5</val>
          </value>
        </values>
      </ddeItem>
      <ddeItem name="WDOFUT.ULT" advise="1">
        <values>
          <value>
            <val>5344.5</val>
          </value>
        </values>
      </ddeItem>
      <ddeItem name="WINFUT.14" advise="1">
        <values>
          <value t="str">
            <val>11,49</val>
          </value>
        </values>
      </ddeItem>
      <ddeItem name="WINFUT.3" advise="1">
        <values>
          <value t="str">
            <val>124.507,45</val>
          </value>
        </values>
      </ddeItem>
      <ddeItem name="WINFUT.6" advise="1">
        <values>
          <value t="str">
            <val>-2.265,10 / -2.265,10</val>
          </value>
        </values>
      </ddeItem>
      <ddeItem name="WINFUT.74" advise="1">
        <values>
          <value t="str">
            <val>-5.781,00 / -5.781,00</val>
          </value>
        </values>
      </ddeItem>
      <ddeItem name="WINFUT.ABE" advise="1">
        <values>
          <value>
            <val>109205</val>
          </value>
        </values>
      </ddeItem>
      <ddeItem name="WINFUT.DAT" advise="1">
        <values>
          <value t="str">
            <val>20/09/2021</val>
          </value>
        </values>
      </ddeItem>
      <ddeItem name="WINFUT.EST" advise="1">
        <values>
          <value t="str">
            <val>Aberto</val>
          </value>
        </values>
      </ddeItem>
      <ddeItem name="WINFUT.HOR" advise="1">
        <values>
          <value t="str">
            <val>09:40:29</val>
          </value>
        </values>
      </ddeItem>
      <ddeItem name="WINFUT.MAX" advise="1">
        <values>
          <value>
            <val>109350</val>
          </value>
        </values>
      </ddeItem>
      <ddeItem name="WINFUT.MIN" advise="1">
        <values>
          <value>
            <val>108725</val>
          </value>
        </values>
      </ddeItem>
      <ddeItem name="WINFUT.ULT" advise="1">
        <values>
          <value>
            <val>109095</val>
          </value>
        </values>
      </ddeItem>
    </ddeItems>
  </ddeLin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U35"/>
  <sheetViews>
    <sheetView tabSelected="1" workbookViewId="0">
      <selection sqref="A1:L3"/>
    </sheetView>
  </sheetViews>
  <sheetFormatPr defaultRowHeight="15" x14ac:dyDescent="0.25"/>
  <cols>
    <col min="1" max="1" width="8.85546875" bestFit="1" customWidth="1"/>
    <col min="2" max="2" width="10.7109375" bestFit="1" customWidth="1"/>
    <col min="3" max="3" width="8.140625" bestFit="1" customWidth="1"/>
    <col min="4" max="4" width="7" bestFit="1" customWidth="1"/>
    <col min="5" max="5" width="8.85546875" bestFit="1" customWidth="1"/>
    <col min="6" max="6" width="8.140625" bestFit="1" customWidth="1"/>
    <col min="7" max="7" width="7.7109375" bestFit="1" customWidth="1"/>
    <col min="8" max="8" width="12" bestFit="1" customWidth="1"/>
    <col min="9" max="9" width="16.28515625" bestFit="1" customWidth="1"/>
    <col min="10" max="10" width="18.7109375" bestFit="1" customWidth="1"/>
    <col min="11" max="11" width="24.28515625" bestFit="1" customWidth="1"/>
    <col min="12" max="12" width="12.5703125" bestFit="1" customWidth="1"/>
    <col min="13" max="13" width="11.42578125" bestFit="1" customWidth="1"/>
    <col min="14" max="14" width="7.7109375" bestFit="1" customWidth="1"/>
    <col min="15" max="15" width="10.42578125" bestFit="1" customWidth="1"/>
    <col min="16" max="16" width="9.28515625" bestFit="1" customWidth="1"/>
    <col min="17" max="17" width="4" bestFit="1" customWidth="1"/>
    <col min="18" max="18" width="4.140625" bestFit="1" customWidth="1"/>
    <col min="19" max="19" width="6.42578125" bestFit="1" customWidth="1"/>
    <col min="20" max="20" width="10.7109375" bestFit="1" customWidth="1"/>
    <col min="21" max="21" width="17.7109375" bestFit="1" customWidth="1"/>
    <col min="22" max="22" width="12.5703125" bestFit="1" customWidth="1"/>
    <col min="23" max="23" width="12.42578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21" x14ac:dyDescent="0.25">
      <c r="A2" t="s">
        <v>12</v>
      </c>
      <c r="B2" t="str">
        <f>[1]!WINFUT.DAT</f>
        <v>20/09/2021</v>
      </c>
      <c r="C2" t="str">
        <f>[1]!WINFUT.HOR</f>
        <v>09:34:39</v>
      </c>
      <c r="D2">
        <f>[1]!WINFUT.ULT</f>
        <v>109040</v>
      </c>
      <c r="E2">
        <f>[1]!WINFUT.ABE</f>
        <v>109205</v>
      </c>
      <c r="F2">
        <f>[1]!WINFUT.MAX</f>
        <v>109350</v>
      </c>
      <c r="G2">
        <f>[1]!WINFUT.MIN</f>
        <v>108725</v>
      </c>
      <c r="H2" t="str">
        <f>[1]!WINFUT.EST</f>
        <v>Aberto</v>
      </c>
      <c r="I2" t="str">
        <f>[1]!WINFUT.14</f>
        <v>11,20</v>
      </c>
      <c r="J2" t="str">
        <f>[1]!WINFUT.6</f>
        <v>-2.270,82 / -2.270,82</v>
      </c>
      <c r="K2" t="str">
        <f>[1]!WINFUT.74</f>
        <v>-5.787,60 / -5.787,60</v>
      </c>
      <c r="L2" t="str">
        <f>[1]!WINFUT.3</f>
        <v>124.506,90</v>
      </c>
      <c r="N2" s="1"/>
      <c r="U2" s="1"/>
    </row>
    <row r="3" spans="1:21" x14ac:dyDescent="0.25">
      <c r="A3" t="s">
        <v>13</v>
      </c>
      <c r="B3" t="str">
        <f>[1]!WDOFUT.DAT</f>
        <v>20/09/2021</v>
      </c>
      <c r="C3" t="str">
        <f>[1]!WDOFUT.HOR</f>
        <v>09:34:39</v>
      </c>
      <c r="D3">
        <f>[1]!WDOFUT.ULT</f>
        <v>5349</v>
      </c>
      <c r="E3">
        <f>[1]!WDOFUT.ABE</f>
        <v>5331</v>
      </c>
      <c r="F3">
        <f>[1]!WDOFUT.MAX</f>
        <v>5356.5</v>
      </c>
      <c r="G3">
        <f>[1]!WDOFUT.MIN</f>
        <v>5330.5</v>
      </c>
      <c r="H3" t="str">
        <f>[1]!WDOFUT.EST</f>
        <v>Aberto</v>
      </c>
      <c r="I3" t="str">
        <f>[1]!WDOFUT.14</f>
        <v>75,96</v>
      </c>
      <c r="J3" t="str">
        <f>[1]!WDOFUT.6</f>
        <v>15,17 / 15,17</v>
      </c>
      <c r="K3" t="str">
        <f>[1]!WDOFUT.74</f>
        <v>-53,57 / -53,57</v>
      </c>
      <c r="L3" t="str">
        <f>[1]!WDOFUT.3</f>
        <v>5.249,24</v>
      </c>
      <c r="N3" s="1"/>
      <c r="U3" s="1"/>
    </row>
    <row r="35" spans="15:15" x14ac:dyDescent="0.25">
      <c r="O35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Alves</dc:creator>
  <cp:lastModifiedBy>Charles Alves</cp:lastModifiedBy>
  <dcterms:created xsi:type="dcterms:W3CDTF">2020-12-18T15:31:09Z</dcterms:created>
  <dcterms:modified xsi:type="dcterms:W3CDTF">2021-09-20T12:40:36Z</dcterms:modified>
</cp:coreProperties>
</file>